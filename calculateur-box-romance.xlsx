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eur Box Ro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D4648A"/>
      <sz val="18"/>
    </font>
    <font>
      <b val="1"/>
      <color rgb="00FFFFFF"/>
      <sz val="12"/>
    </font>
    <font>
      <b val="1"/>
      <color rgb="00D4648A"/>
      <sz val="11"/>
    </font>
    <font>
      <b val="1"/>
      <sz val="11"/>
    </font>
    <font>
      <color rgb="00FF6B6B"/>
      <sz val="11"/>
    </font>
    <font>
      <i val="1"/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D4648A"/>
        <bgColor rgb="00D4648A"/>
      </patternFill>
    </fill>
    <fill>
      <patternFill patternType="solid">
        <fgColor rgb="00FFF9FC"/>
        <bgColor rgb="00FFF9FC"/>
      </patternFill>
    </fill>
    <fill>
      <patternFill patternType="solid">
        <fgColor rgb="00FFEEF8"/>
        <bgColor rgb="00FFEEF8"/>
      </patternFill>
    </fill>
    <fill>
      <patternFill patternType="solid">
        <fgColor rgb="0032CD32"/>
        <bgColor rgb="0032CD32"/>
      </patternFill>
    </fill>
  </fills>
  <borders count="2">
    <border>
      <left/>
      <right/>
      <top/>
      <bottom/>
      <diagonal/>
    </border>
    <border>
      <left style="thin">
        <color rgb="00F0E0E8"/>
      </left>
      <right style="thin">
        <color rgb="00F0E0E8"/>
      </right>
      <top style="thin">
        <color rgb="00F0E0E8"/>
      </top>
      <bottom style="thin">
        <color rgb="00F0E0E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0" fillId="2" borderId="0" pivotButton="0" quotePrefix="0" xfId="0"/>
    <xf numFmtId="164" fontId="0" fillId="3" borderId="1" pivotButton="0" quotePrefix="0" xfId="0"/>
    <xf numFmtId="165" fontId="0" fillId="3" borderId="1" pivotButton="0" quotePrefix="0" xfId="0"/>
    <xf numFmtId="0" fontId="3" fillId="4" borderId="0" pivotButton="0" quotePrefix="0" xfId="0"/>
    <xf numFmtId="0" fontId="0" fillId="4" borderId="0" pivotButton="0" quotePrefix="0" xfId="0"/>
    <xf numFmtId="3" fontId="0" fillId="3" borderId="1" pivotButton="0" quotePrefix="0" xfId="0"/>
    <xf numFmtId="165" fontId="0" fillId="3" borderId="0" pivotButton="0" quotePrefix="0" xfId="0"/>
    <xf numFmtId="164" fontId="4" fillId="4" borderId="0" pivotButton="0" quotePrefix="0" xfId="0"/>
    <xf numFmtId="164" fontId="2" fillId="2" borderId="0" pivotButton="0" quotePrefix="0" xfId="0"/>
    <xf numFmtId="165" fontId="4" fillId="4" borderId="0" pivotButton="0" quotePrefix="0" xfId="0"/>
    <xf numFmtId="3" fontId="2" fillId="2" borderId="0" pivotButton="0" quotePrefix="0" xfId="0"/>
    <xf numFmtId="164" fontId="5" fillId="0" borderId="0" pivotButton="0" quotePrefix="0" xfId="0"/>
    <xf numFmtId="0" fontId="2" fillId="5" borderId="0" pivotButton="0" quotePrefix="0" xfId="0"/>
    <xf numFmtId="164" fontId="2" fillId="5" borderId="0" pivotButton="0" quotePrefix="0" xfId="0"/>
    <xf numFmtId="3" fontId="4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" customWidth="1" min="3" max="3"/>
    <col width="30" customWidth="1" min="4" max="4"/>
    <col width="15" customWidth="1" min="5" max="5"/>
  </cols>
  <sheetData>
    <row r="1" ht="40" customHeight="1">
      <c r="A1" s="1" t="inlineStr">
        <is>
          <t>CALCULATEUR BOX ROMANCE - BookMeAKiss</t>
        </is>
      </c>
    </row>
    <row r="3">
      <c r="A3" s="2" t="inlineStr">
        <is>
          <t>COUTS DE PRODUCTION (par box)</t>
        </is>
      </c>
      <c r="B3" s="3" t="n"/>
      <c r="D3" s="2" t="inlineStr">
        <is>
          <t>PARAMETRES DE VENTE</t>
        </is>
      </c>
      <c r="E3" s="3" t="n"/>
    </row>
    <row r="4">
      <c r="A4" t="inlineStr">
        <is>
          <t>Prix du livre</t>
        </is>
      </c>
      <c r="B4" s="4" t="n">
        <v>8</v>
      </c>
      <c r="D4" t="inlineStr">
        <is>
          <t>Prix de vente TTC</t>
        </is>
      </c>
      <c r="E4" s="4" t="n">
        <v>35</v>
      </c>
    </row>
    <row r="5">
      <c r="A5" t="inlineStr">
        <is>
          <t>Carton / Packaging</t>
        </is>
      </c>
      <c r="B5" s="4" t="n">
        <v>2.5</v>
      </c>
      <c r="D5" t="inlineStr">
        <is>
          <t>TVA applicable</t>
        </is>
      </c>
      <c r="E5" s="5" t="n">
        <v>0.2</v>
      </c>
    </row>
    <row r="6">
      <c r="A6" t="inlineStr">
        <is>
          <t>Papier de soie / Calage</t>
        </is>
      </c>
      <c r="B6" s="4" t="n">
        <v>0.5</v>
      </c>
      <c r="D6" t="inlineStr">
        <is>
          <t>Charges diverses (%)</t>
        </is>
      </c>
      <c r="E6" s="5" t="n">
        <v>0.05</v>
      </c>
    </row>
    <row r="7">
      <c r="A7" t="inlineStr">
        <is>
          <t>Frais d'envoi</t>
        </is>
      </c>
      <c r="B7" s="4" t="n">
        <v>6.5</v>
      </c>
      <c r="D7" t="inlineStr">
        <is>
          <t>Frais fixes mensuels</t>
        </is>
      </c>
      <c r="E7" s="4" t="n">
        <v>50</v>
      </c>
    </row>
    <row r="8">
      <c r="A8" s="6" t="inlineStr">
        <is>
          <t>Goodies</t>
        </is>
      </c>
      <c r="B8" s="7" t="n"/>
      <c r="D8" t="inlineStr">
        <is>
          <t>Nombre de box a vendre</t>
        </is>
      </c>
      <c r="E8" s="8" t="n">
        <v>50</v>
      </c>
    </row>
    <row r="9">
      <c r="A9" t="inlineStr">
        <is>
          <t xml:space="preserve">  Marque-page</t>
        </is>
      </c>
      <c r="B9" s="4" t="n">
        <v>1.5</v>
      </c>
      <c r="D9" t="inlineStr">
        <is>
          <t>Taux imposition benefice</t>
        </is>
      </c>
      <c r="E9" s="9" t="n">
        <v>0.14</v>
      </c>
    </row>
    <row r="10">
      <c r="A10" t="inlineStr">
        <is>
          <t xml:space="preserve">  Stickers</t>
        </is>
      </c>
      <c r="B10" s="4" t="n">
        <v>1</v>
      </c>
    </row>
    <row r="11">
      <c r="A11" t="inlineStr">
        <is>
          <t xml:space="preserve">  Carte postale</t>
        </is>
      </c>
      <c r="B11" s="4" t="n">
        <v>0.8</v>
      </c>
    </row>
    <row r="12">
      <c r="A12" t="inlineStr">
        <is>
          <t xml:space="preserve">  Goodie 4 (optionnel)</t>
        </is>
      </c>
      <c r="B12" s="4" t="n">
        <v>0</v>
      </c>
    </row>
    <row r="13">
      <c r="A13" t="inlineStr">
        <is>
          <t xml:space="preserve">  Goodie 5 (optionnel)</t>
        </is>
      </c>
      <c r="B13" s="4" t="n">
        <v>0</v>
      </c>
    </row>
    <row r="14">
      <c r="A14" t="inlineStr">
        <is>
          <t xml:space="preserve">  Goodie 6 (optionnel)</t>
        </is>
      </c>
      <c r="B14" s="4" t="n">
        <v>0</v>
      </c>
    </row>
    <row r="16">
      <c r="A16" s="6" t="inlineStr">
        <is>
          <t>Total Goodies</t>
        </is>
      </c>
      <c r="B16" s="10">
        <f>SUM(B9:B14)</f>
        <v/>
      </c>
    </row>
    <row r="17">
      <c r="A17" s="2" t="inlineStr">
        <is>
          <t>COUT TOTAL PAR BOX</t>
        </is>
      </c>
      <c r="B17" s="11">
        <f>B4+B5+B6+B7+B16</f>
        <v/>
      </c>
    </row>
    <row r="20">
      <c r="A20" s="2" t="inlineStr">
        <is>
          <t>RESULTATS ET INDICATEURS</t>
        </is>
      </c>
      <c r="B20" s="3" t="n"/>
      <c r="C20" s="3" t="n"/>
      <c r="D20" s="3" t="n"/>
      <c r="E20" s="3" t="n"/>
    </row>
    <row r="21">
      <c r="A21" t="inlineStr">
        <is>
          <t>Prix de vente HT</t>
        </is>
      </c>
      <c r="B21" s="10">
        <f>E4/(1+E5)</f>
        <v/>
      </c>
      <c r="D21" t="inlineStr">
        <is>
          <t>Marge brute par box</t>
        </is>
      </c>
      <c r="E21" s="10">
        <f>B21-B17-B23</f>
        <v/>
      </c>
    </row>
    <row r="22">
      <c r="A22" t="inlineStr">
        <is>
          <t>TVA par box</t>
        </is>
      </c>
      <c r="B22" s="10">
        <f>E4-B21</f>
        <v/>
      </c>
      <c r="D22" t="inlineStr">
        <is>
          <t>Taux de marge</t>
        </is>
      </c>
      <c r="E22" s="12">
        <f>IF(B21&gt;0,E21/B21,0)</f>
        <v/>
      </c>
    </row>
    <row r="23">
      <c r="A23" t="inlineStr">
        <is>
          <t>Charges par box</t>
        </is>
      </c>
      <c r="B23" s="10">
        <f>B21*E6</f>
        <v/>
      </c>
      <c r="D23" s="2" t="inlineStr">
        <is>
          <t>SEUIL RENTABILITE (box)</t>
        </is>
      </c>
      <c r="E23" s="13">
        <f>IF(E21&gt;0,ROUNDUP(E7/E21,0),999)</f>
        <v/>
      </c>
    </row>
    <row r="26">
      <c r="A26" s="2" t="inlineStr">
        <is>
          <t>BILAN FINANCIER MENSUEL</t>
        </is>
      </c>
      <c r="B26" s="3" t="n"/>
      <c r="C26" s="3" t="n"/>
      <c r="D26" s="3" t="n"/>
      <c r="E26" s="3" t="n"/>
    </row>
    <row r="27">
      <c r="A27" t="inlineStr">
        <is>
          <t>Chiffre d'affaires TTC</t>
        </is>
      </c>
      <c r="B27" s="10">
        <f>E4*E8</f>
        <v/>
      </c>
    </row>
    <row r="28">
      <c r="A28" t="inlineStr">
        <is>
          <t>TVA collectee</t>
        </is>
      </c>
      <c r="B28" s="14">
        <f>B22*E8</f>
        <v/>
      </c>
    </row>
    <row r="29">
      <c r="A29" t="inlineStr">
        <is>
          <t>Chiffre d'affaires HT</t>
        </is>
      </c>
      <c r="B29" s="10">
        <f>B21*E8</f>
        <v/>
      </c>
    </row>
    <row r="30">
      <c r="A30" t="inlineStr">
        <is>
          <t>Cout total production</t>
        </is>
      </c>
      <c r="B30" s="14">
        <f>B17*E8</f>
        <v/>
      </c>
    </row>
    <row r="31">
      <c r="A31" t="inlineStr">
        <is>
          <t>Frais fixes</t>
        </is>
      </c>
      <c r="B31" s="14">
        <f>E7</f>
        <v/>
      </c>
    </row>
    <row r="32">
      <c r="A32" t="inlineStr">
        <is>
          <t>Charges diverses</t>
        </is>
      </c>
      <c r="B32" s="14">
        <f>B23*E8</f>
        <v/>
      </c>
    </row>
    <row r="33">
      <c r="A33" s="6" t="inlineStr">
        <is>
          <t>Benefice avant impots</t>
        </is>
      </c>
      <c r="B33" s="10">
        <f>B29-B30-B31-B32</f>
        <v/>
      </c>
    </row>
    <row r="34">
      <c r="A34" t="inlineStr">
        <is>
          <t>Impots estimes</t>
        </is>
      </c>
      <c r="B34" s="14">
        <f>IF(B33&gt;0,B33*E9,0)</f>
        <v/>
      </c>
    </row>
    <row r="35">
      <c r="A35" s="15" t="inlineStr">
        <is>
          <t>BENEFICE NET</t>
        </is>
      </c>
      <c r="B35" s="16">
        <f>B33-B34</f>
        <v/>
      </c>
    </row>
    <row r="38">
      <c r="A38" s="2" t="inlineStr">
        <is>
          <t>SIMULATION - COMBIEN DE BOX POUR ATTEINDRE...</t>
        </is>
      </c>
      <c r="B38" s="3" t="n"/>
      <c r="C38" s="3" t="n"/>
      <c r="D38" s="3" t="n"/>
      <c r="E38" s="3" t="n"/>
    </row>
    <row r="39">
      <c r="A39" t="inlineStr">
        <is>
          <t>Pour 100 EUR net/mois</t>
        </is>
      </c>
      <c r="B39" s="17">
        <f>IF(E21&gt;0,ROUNDUP((100/(1-E9)+E7)/E21,0),9999)</f>
        <v/>
      </c>
      <c r="C39" t="inlineStr">
        <is>
          <t>box</t>
        </is>
      </c>
    </row>
    <row r="40">
      <c r="A40" t="inlineStr">
        <is>
          <t>Pour 500 EUR net/mois</t>
        </is>
      </c>
      <c r="B40" s="17">
        <f>IF(E21&gt;0,ROUNDUP((500/(1-E9)+E7)/E21,0),9999)</f>
        <v/>
      </c>
      <c r="C40" t="inlineStr">
        <is>
          <t>box</t>
        </is>
      </c>
    </row>
    <row r="41">
      <c r="A41" t="inlineStr">
        <is>
          <t>Pour 1000 EUR net/mois</t>
        </is>
      </c>
      <c r="B41" s="17">
        <f>IF(E21&gt;0,ROUNDUP((1000/(1-E9)+E7)/E21,0),9999)</f>
        <v/>
      </c>
      <c r="C41" t="inlineStr">
        <is>
          <t>box</t>
        </is>
      </c>
    </row>
    <row r="42">
      <c r="A42" t="inlineStr">
        <is>
          <t>Pour 2000 EUR net/mois</t>
        </is>
      </c>
      <c r="B42" s="17">
        <f>IF(E21&gt;0,ROUNDUP((2000/(1-E9)+E7)/E21,0),9999)</f>
        <v/>
      </c>
      <c r="C42" t="inlineStr">
        <is>
          <t>box</t>
        </is>
      </c>
    </row>
    <row r="45">
      <c r="A45" s="18" t="inlineStr">
        <is>
          <t>Notes: Micro-entreprise = 12,3% cotisations + 1,7% versement liberatoire | SARL/SAS = ~25% IS</t>
        </is>
      </c>
    </row>
  </sheetData>
  <mergeCells count="7">
    <mergeCell ref="A20:E20"/>
    <mergeCell ref="A26:E26"/>
    <mergeCell ref="A38:E38"/>
    <mergeCell ref="A1:E1"/>
    <mergeCell ref="A45:E45"/>
    <mergeCell ref="D3:E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2026-01-29T18:59:34Z</dcterms:created>
  <dcterms:modified xsi:type="dcterms:W3CDTF">2026-01-29T18:59:34Z</dcterms:modified>
</cp:coreProperties>
</file>